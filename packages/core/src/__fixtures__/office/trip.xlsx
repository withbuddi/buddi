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workbookPr/>
  <sheets>
    <sheet name="Summary" sheetId="1" r:id="rId1"/>
    <sheet name="Costs" sheetId="2" r:id="rId2"/>
  </sheets>
  <calcPr calcId="124519" fullCalcOnLoad="1"/>
</workbook>
</file>

<file path=xl/sharedStrings.xml><?xml version="1.0" encoding="utf-8"?>
<sst xmlns="http://schemas.openxmlformats.org/spreadsheetml/2006/main" xmlns:r="http://schemas.openxmlformats.org/officeDocument/2006/relationships" uniqueCount="13">
  <si>
    <t>Item</t>
  </si>
  <si>
    <t>Cost</t>
  </si>
  <si>
    <t>Flights</t>
  </si>
  <si>
    <t>Hotel</t>
  </si>
  <si>
    <t>Travel subtotal</t>
  </si>
  <si>
    <t>Food</t>
  </si>
  <si>
    <t>Food subtotal</t>
  </si>
  <si>
    <t>Total</t>
  </si>
  <si>
    <t>Hotel</t>
  </si>
  <si>
    <t>Category</t>
  </si>
  <si>
    <t>travel</t>
  </si>
  <si>
    <t>food</t>
  </si>
  <si>
    <t>Yellow cells are inputs</t>
  </si>
</sst>
</file>

<file path=xl/styles.xml><?xml version="1.0" encoding="utf-8"?>
<styleSheet xmlns="http://schemas.openxmlformats.org/spreadsheetml/2006/main" xmlns:r="http://schemas.openxmlformats.org/officeDocument/2006/relationships">
  <numFmts count="2">
    <numFmt numFmtId="164" formatCode="&quot;€&quot;#,##0.00;[Red]-&quot;€&quot;#,##0.00"/>
    <numFmt numFmtId="165" formatCode="d mmm yyyy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i val="1"/>
      <sz val="11"/>
    </font>
  </fonts>
  <fills count="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applyFont="1" applyFill="1">
      <alignment horizontal="center"/>
    </xf>
    <xf numFmtId="164" fontId="0" fillId="0" borderId="0" applyNumberFormat="1"/>
    <xf numFmtId="164" fontId="1" fillId="0" borderId="1" applyNumberFormat="1"/>
    <xf numFmtId="10" fontId="2" fillId="3" borderId="0" applyNumberFormat="1">
      <alignment wrapText="1"/>
    </xf>
    <xf numFmtId="165" fontId="0" fillId="0" borderId="0"/>
  </cellXfs>
  <dxfs count="2">
    <dxf>
      <font>
        <color rgb="FF9C0006"/>
      </font>
      <fill>
        <patternFill>
          <bgColor rgb="FFFFC7CE"/>
        </patternFill>
      </fill>
    </dxf>
    <dxf>
      <font>
        <b/>
      </font>
    </dxf>
  </d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t="s" s="1">
        <v>0</v>
      </c>
      <c r="B1" t="s" s="1">
        <v>1</v>
      </c>
    </row>
    <row r="2">
      <c r="A2" t="s">
        <v>7</v>
      </c>
      <c r="B2" s="3">
        <f>Costs!B7</f>
        <v/>
      </c>
    </row>
    <row r="3">
      <c r="A3" t="s">
        <v>2</v>
      </c>
      <c r="B3">
        <f>'Costs'!B2*2</f>
        <v/>
      </c>
    </row>
    <row r="5">
      <c r="A5" t="s">
        <v>12</v>
      </c>
    </row>
  </sheetData>
  <mergeCells count="1">
    <mergeCell ref="A5:B5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 s="1">
        <v>0</v>
      </c>
      <c r="B1" t="s" s="1">
        <v>1</v>
      </c>
      <c r="C1" t="s" s="1">
        <v>9</v>
      </c>
    </row>
    <row r="2">
      <c r="A2" t="s">
        <v>2</v>
      </c>
      <c r="B2" s="2">
        <v>420.5</v>
      </c>
      <c r="C2" t="s">
        <v>10</v>
      </c>
    </row>
    <row r="3">
      <c r="A3" t="s">
        <v>3</v>
      </c>
      <c r="B3" s="2">
        <v>380</v>
      </c>
      <c r="C3" t="s">
        <v>10</v>
      </c>
    </row>
    <row r="4">
      <c r="A4" t="s">
        <v>4</v>
      </c>
      <c r="B4" s="2">
        <f>SUBTOTAL(9,B2:B3)</f>
        <v/>
      </c>
    </row>
    <row r="5">
      <c r="A5" t="s">
        <v>5</v>
      </c>
      <c r="B5" s="2">
        <v>150</v>
      </c>
      <c r="C5" t="s">
        <v>11</v>
      </c>
    </row>
    <row r="6">
      <c r="A6" t="s">
        <v>6</v>
      </c>
      <c r="B6" s="2">
        <f>SUBTOTAL(9,B5:B5)</f>
        <v/>
      </c>
    </row>
    <row r="7">
      <c r="A7" t="s">
        <v>7</v>
      </c>
      <c r="B7" s="3">
        <f>SUBTOTAL(9,B2:B6)</f>
        <v/>
      </c>
    </row>
    <row r="8">
      <c r="A8">
        <f>IF(B7&gt;900,"over","within")</f>
        <v/>
      </c>
      <c r="B8">
        <f>SUMIFS(B2:B6,C2:C6,"travel")</f>
        <v/>
      </c>
      <c r="C8">
        <f>COUNTIFS(C2:C6,"travel",B2:B6,"&gt;400")</f>
        <v/>
      </c>
    </row>
    <row r="9">
      <c r="A9">
        <f>INDEX(A2:A6,MATCH("Food",A2:A6,0))</f>
        <v/>
      </c>
      <c r="B9">
        <f>VLOOKUP("Hotel",A2:B6,2,FALSE)</f>
        <v/>
      </c>
      <c r="C9">
        <f>ROUND(B7/3,2)</f>
        <v/>
      </c>
    </row>
    <row r="10">
      <c r="A10">
        <f>TEXT(B7,"0.0")</f>
        <v/>
      </c>
      <c r="B10">
        <f>IFERROR(1/0,"none")</f>
        <v/>
      </c>
      <c r="C10">
        <f>COUNTA(A2:A7)</f>
        <v/>
      </c>
    </row>
    <row r="11">
      <c r="A11">
        <f>A12+1</f>
        <v/>
      </c>
      <c r="B11">
        <f>XLOOKUP("x",A2:A6,B2:B6)</f>
        <v/>
      </c>
      <c r="C11" s="4">
        <f>B2/0</f>
        <v/>
      </c>
    </row>
    <row r="12">
      <c r="A12">
        <f>A11+1</f>
        <v/>
      </c>
      <c r="B12" s="5">
        <v>46308</v>
      </c>
      <c r="C12" s="5">
        <f>DATE(2026,10,13)</f>
        <v/>
      </c>
    </row>
  </sheetData>
  <conditionalFormatting sqref="B2:B3 B5">
    <cfRule type="cellIs" dxfId="0" priority="2" operator="greaterThan">
      <formula>400</formula>
    </cfRule>
  </conditionalFormatting>
  <conditionalFormatting sqref="A2:C6">
    <cfRule type="expression" dxfId="1" priority="1">
      <formula>$C2="food"</formula>
    </cfRule>
  </conditionalFormatting>
</worksheet>
</file>